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9 Septiembre/Dasboatdde agosto/data/"/>
    </mc:Choice>
  </mc:AlternateContent>
  <xr:revisionPtr revIDLastSave="416" documentId="8_{D38F4008-6566-4043-A2A6-318D4F91697F}" xr6:coauthVersionLast="47" xr6:coauthVersionMax="47" xr10:uidLastSave="{92A3F3B9-7CCA-4DF6-990C-E586C8B5B9CE}"/>
  <bookViews>
    <workbookView xWindow="-120" yWindow="-120" windowWidth="29040" windowHeight="15720" xr2:uid="{F008453E-1A06-40CE-9AA2-8079F823278A}"/>
  </bookViews>
  <sheets>
    <sheet name="Cumplimiento CV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6" i="1" l="1"/>
  <c r="V26" i="1" s="1"/>
  <c r="T26" i="1"/>
  <c r="R26" i="1"/>
  <c r="S26" i="1" s="1"/>
  <c r="Q26" i="1"/>
  <c r="O26" i="1"/>
  <c r="P26" i="1" s="1"/>
  <c r="N26" i="1"/>
  <c r="L26" i="1"/>
  <c r="M26" i="1" s="1"/>
  <c r="K26" i="1"/>
  <c r="I26" i="1"/>
  <c r="J26" i="1" s="1"/>
  <c r="H26" i="1"/>
  <c r="F26" i="1"/>
  <c r="G26" i="1" s="1"/>
  <c r="E26" i="1"/>
  <c r="D26" i="1"/>
  <c r="C26" i="1"/>
  <c r="B26" i="1"/>
</calcChain>
</file>

<file path=xl/sharedStrings.xml><?xml version="1.0" encoding="utf-8"?>
<sst xmlns="http://schemas.openxmlformats.org/spreadsheetml/2006/main" count="47" uniqueCount="36">
  <si>
    <t>CVS</t>
  </si>
  <si>
    <t>Meta en puntos</t>
  </si>
  <si>
    <t>Ejecutado</t>
  </si>
  <si>
    <t>% Cump.</t>
  </si>
  <si>
    <t>Postpago</t>
  </si>
  <si>
    <t>Terminales</t>
  </si>
  <si>
    <t>Hogar</t>
  </si>
  <si>
    <t>CVS PLUS</t>
  </si>
  <si>
    <t>Otros</t>
  </si>
  <si>
    <t>Accesorios</t>
  </si>
  <si>
    <t>Total</t>
  </si>
  <si>
    <t>Barbosa</t>
  </si>
  <si>
    <t>Bello</t>
  </si>
  <si>
    <t>Caldas</t>
  </si>
  <si>
    <t>Caucasia</t>
  </si>
  <si>
    <t>Ciudad Bolivar</t>
  </si>
  <si>
    <t>Copacabana</t>
  </si>
  <si>
    <t>Dabeiba</t>
  </si>
  <si>
    <t>Don Matias</t>
  </si>
  <si>
    <t>El Bagre</t>
  </si>
  <si>
    <t>Envigado</t>
  </si>
  <si>
    <t>Frontino</t>
  </si>
  <si>
    <t>Girardota</t>
  </si>
  <si>
    <t>Itagui</t>
  </si>
  <si>
    <t>Junin</t>
  </si>
  <si>
    <t>La Estrella</t>
  </si>
  <si>
    <t>Nechi</t>
  </si>
  <si>
    <t>Prado</t>
  </si>
  <si>
    <t>Sabaneta</t>
  </si>
  <si>
    <t>Segovia</t>
  </si>
  <si>
    <t>Terminal Norte</t>
  </si>
  <si>
    <t>Yarumal</t>
  </si>
  <si>
    <t>Zaragoza</t>
  </si>
  <si>
    <t>San Cristobal</t>
  </si>
  <si>
    <t>% puntos</t>
  </si>
  <si>
    <t>Metro Est. 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</si>
</sst>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3" fillId="0" borderId="1" xfId="2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9" fontId="3" fillId="0" borderId="1" xfId="2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3" fillId="0" borderId="1" xfId="2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2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11AD-16C4-4282-9173-A244A832C30F}">
  <sheetPr>
    <tabColor theme="5" tint="0.59999389629810485"/>
  </sheetPr>
  <dimension ref="A1:V26"/>
  <sheetViews>
    <sheetView showGridLines="0" tabSelected="1" zoomScaleNormal="100" workbookViewId="0">
      <selection activeCell="F27" sqref="F27"/>
    </sheetView>
  </sheetViews>
  <sheetFormatPr baseColWidth="10" defaultRowHeight="15" x14ac:dyDescent="0.25"/>
  <cols>
    <col min="1" max="1" width="20.7109375" bestFit="1" customWidth="1"/>
    <col min="2" max="2" width="15.42578125" customWidth="1"/>
    <col min="3" max="3" width="11.28515625" style="1" customWidth="1"/>
    <col min="4" max="4" width="9.85546875" style="1" customWidth="1"/>
    <col min="5" max="5" width="10" customWidth="1"/>
    <col min="6" max="6" width="9.85546875" customWidth="1"/>
    <col min="7" max="7" width="9.140625" customWidth="1"/>
    <col min="8" max="8" width="11.28515625" customWidth="1"/>
    <col min="9" max="9" width="11.140625" customWidth="1"/>
    <col min="10" max="10" width="9.140625" customWidth="1"/>
    <col min="11" max="11" width="8.28515625" customWidth="1"/>
    <col min="12" max="12" width="9.7109375" customWidth="1"/>
    <col min="13" max="13" width="8.28515625" customWidth="1"/>
    <col min="14" max="14" width="10" customWidth="1"/>
    <col min="15" max="15" width="9.42578125" customWidth="1"/>
    <col min="16" max="16" width="10" customWidth="1"/>
    <col min="17" max="17" width="8.5703125" customWidth="1"/>
    <col min="18" max="18" width="9.85546875" customWidth="1"/>
    <col min="19" max="19" width="7.7109375" customWidth="1"/>
    <col min="20" max="20" width="12.5703125" style="2" bestFit="1" customWidth="1"/>
    <col min="21" max="21" width="12.85546875" style="2" bestFit="1" customWidth="1"/>
    <col min="22" max="22" width="8.28515625" customWidth="1"/>
  </cols>
  <sheetData>
    <row r="1" spans="1:22" ht="16.5" customHeight="1" x14ac:dyDescent="0.25">
      <c r="A1" s="3" t="s">
        <v>0</v>
      </c>
      <c r="B1" s="4" t="s">
        <v>1</v>
      </c>
      <c r="C1" s="5" t="s">
        <v>2</v>
      </c>
      <c r="D1" s="5" t="s">
        <v>34</v>
      </c>
      <c r="E1" s="6" t="s">
        <v>4</v>
      </c>
      <c r="F1" s="7" t="s">
        <v>2</v>
      </c>
      <c r="G1" s="7" t="s">
        <v>3</v>
      </c>
      <c r="H1" s="8" t="s">
        <v>5</v>
      </c>
      <c r="I1" s="9" t="s">
        <v>2</v>
      </c>
      <c r="J1" s="9" t="s">
        <v>3</v>
      </c>
      <c r="K1" s="10" t="s">
        <v>6</v>
      </c>
      <c r="L1" s="11" t="s">
        <v>2</v>
      </c>
      <c r="M1" s="11" t="s">
        <v>3</v>
      </c>
      <c r="N1" s="12" t="s">
        <v>7</v>
      </c>
      <c r="O1" s="13" t="s">
        <v>2</v>
      </c>
      <c r="P1" s="13" t="s">
        <v>3</v>
      </c>
      <c r="Q1" s="14" t="s">
        <v>8</v>
      </c>
      <c r="R1" s="15" t="s">
        <v>2</v>
      </c>
      <c r="S1" s="15" t="s">
        <v>3</v>
      </c>
      <c r="T1" s="16" t="s">
        <v>9</v>
      </c>
      <c r="U1" s="17" t="s">
        <v>2</v>
      </c>
      <c r="V1" s="15" t="s">
        <v>3</v>
      </c>
    </row>
    <row r="2" spans="1:22" x14ac:dyDescent="0.25">
      <c r="A2" s="18" t="s">
        <v>11</v>
      </c>
      <c r="B2" s="19">
        <v>2400</v>
      </c>
      <c r="C2" s="20">
        <v>2580.5400000000009</v>
      </c>
      <c r="D2" s="21">
        <v>1.0752250000000003</v>
      </c>
      <c r="E2" s="19">
        <v>30</v>
      </c>
      <c r="F2" s="19">
        <v>44</v>
      </c>
      <c r="G2" s="21">
        <v>1.4666666666666666</v>
      </c>
      <c r="H2" s="22">
        <v>72</v>
      </c>
      <c r="I2" s="22">
        <v>71</v>
      </c>
      <c r="J2" s="21">
        <v>0.98611111111111116</v>
      </c>
      <c r="K2" s="19">
        <v>10</v>
      </c>
      <c r="L2" s="19">
        <v>13</v>
      </c>
      <c r="M2" s="21">
        <v>1.3</v>
      </c>
      <c r="N2" s="27">
        <v>1500</v>
      </c>
      <c r="O2" s="19">
        <v>1573</v>
      </c>
      <c r="P2" s="21">
        <v>1.0486666666666666</v>
      </c>
      <c r="Q2" s="23">
        <v>95</v>
      </c>
      <c r="R2" s="19">
        <v>111</v>
      </c>
      <c r="S2" s="21">
        <v>1.168421052631579</v>
      </c>
      <c r="T2" s="24">
        <v>8000000</v>
      </c>
      <c r="U2" s="24">
        <v>9265349</v>
      </c>
      <c r="V2" s="25">
        <v>1.1581686250000001</v>
      </c>
    </row>
    <row r="3" spans="1:22" x14ac:dyDescent="0.25">
      <c r="A3" s="18" t="s">
        <v>12</v>
      </c>
      <c r="B3" s="19">
        <v>2850</v>
      </c>
      <c r="C3" s="20">
        <v>2583.15</v>
      </c>
      <c r="D3" s="21">
        <v>0.9063684210526316</v>
      </c>
      <c r="E3" s="19">
        <v>55</v>
      </c>
      <c r="F3" s="19">
        <v>72</v>
      </c>
      <c r="G3" s="21">
        <v>1.3090909090909091</v>
      </c>
      <c r="H3" s="22">
        <v>80</v>
      </c>
      <c r="I3" s="22">
        <v>73</v>
      </c>
      <c r="J3" s="21">
        <v>0.91249999999999998</v>
      </c>
      <c r="K3" s="19">
        <v>14</v>
      </c>
      <c r="L3" s="19">
        <v>12</v>
      </c>
      <c r="M3" s="21">
        <v>0.8571428571428571</v>
      </c>
      <c r="N3" s="27">
        <v>1500</v>
      </c>
      <c r="O3" s="19">
        <v>1551</v>
      </c>
      <c r="P3" s="21">
        <v>1.034</v>
      </c>
      <c r="Q3" s="23">
        <v>150</v>
      </c>
      <c r="R3" s="19">
        <v>131</v>
      </c>
      <c r="S3" s="21">
        <v>0.87333333333333329</v>
      </c>
      <c r="T3" s="24">
        <v>4000000</v>
      </c>
      <c r="U3" s="24">
        <v>3560900</v>
      </c>
      <c r="V3" s="25">
        <v>0.89022500000000004</v>
      </c>
    </row>
    <row r="4" spans="1:22" x14ac:dyDescent="0.25">
      <c r="A4" s="18" t="s">
        <v>13</v>
      </c>
      <c r="B4" s="19">
        <v>3700</v>
      </c>
      <c r="C4" s="20">
        <v>2742.1400000000021</v>
      </c>
      <c r="D4" s="21">
        <v>0.74111891891891946</v>
      </c>
      <c r="E4" s="19">
        <v>70</v>
      </c>
      <c r="F4" s="19">
        <v>64</v>
      </c>
      <c r="G4" s="21">
        <v>0.91428571428571426</v>
      </c>
      <c r="H4" s="22">
        <v>125</v>
      </c>
      <c r="I4" s="22">
        <v>89</v>
      </c>
      <c r="J4" s="21">
        <v>0.71199999999999997</v>
      </c>
      <c r="K4" s="19">
        <v>10</v>
      </c>
      <c r="L4" s="19">
        <v>15</v>
      </c>
      <c r="M4" s="21">
        <v>1.5</v>
      </c>
      <c r="N4" s="27">
        <v>1500</v>
      </c>
      <c r="O4" s="19">
        <v>1536</v>
      </c>
      <c r="P4" s="21">
        <v>1.024</v>
      </c>
      <c r="Q4" s="23">
        <v>220</v>
      </c>
      <c r="R4" s="19">
        <v>183</v>
      </c>
      <c r="S4" s="21">
        <v>0.83181818181818179</v>
      </c>
      <c r="T4" s="24">
        <v>9500000</v>
      </c>
      <c r="U4" s="24">
        <v>5740799.9999999991</v>
      </c>
      <c r="V4" s="25">
        <v>0.60429473684210522</v>
      </c>
    </row>
    <row r="5" spans="1:22" x14ac:dyDescent="0.25">
      <c r="A5" s="18" t="s">
        <v>14</v>
      </c>
      <c r="B5" s="19">
        <v>1000</v>
      </c>
      <c r="C5" s="20">
        <v>498.95000000000016</v>
      </c>
      <c r="D5" s="21">
        <v>0.49895000000000017</v>
      </c>
      <c r="E5" s="19">
        <v>8</v>
      </c>
      <c r="F5" s="19">
        <v>4</v>
      </c>
      <c r="G5" s="21">
        <v>0.5</v>
      </c>
      <c r="H5" s="22">
        <v>40</v>
      </c>
      <c r="I5" s="22">
        <v>25</v>
      </c>
      <c r="J5" s="21">
        <v>0.625</v>
      </c>
      <c r="K5" s="19">
        <v>2</v>
      </c>
      <c r="L5" s="19">
        <v>0</v>
      </c>
      <c r="M5" s="21">
        <v>0</v>
      </c>
      <c r="N5" s="27">
        <v>0</v>
      </c>
      <c r="O5" s="19">
        <v>0</v>
      </c>
      <c r="P5" s="21">
        <v>0</v>
      </c>
      <c r="Q5" s="23">
        <v>25</v>
      </c>
      <c r="R5" s="19">
        <v>13</v>
      </c>
      <c r="S5" s="21">
        <v>0.52</v>
      </c>
      <c r="T5" s="24">
        <v>2500000</v>
      </c>
      <c r="U5" s="24">
        <v>1328000</v>
      </c>
      <c r="V5" s="25">
        <v>0.53120000000000001</v>
      </c>
    </row>
    <row r="6" spans="1:22" x14ac:dyDescent="0.25">
      <c r="A6" s="18" t="s">
        <v>15</v>
      </c>
      <c r="B6" s="19">
        <v>1500</v>
      </c>
      <c r="C6" s="20">
        <v>1492.1399999999994</v>
      </c>
      <c r="D6" s="21">
        <v>0.99475999999999964</v>
      </c>
      <c r="E6" s="19">
        <v>25</v>
      </c>
      <c r="F6" s="19">
        <v>18</v>
      </c>
      <c r="G6" s="21">
        <v>0.72</v>
      </c>
      <c r="H6" s="22">
        <v>50</v>
      </c>
      <c r="I6" s="22">
        <v>53</v>
      </c>
      <c r="J6" s="21">
        <v>1.06</v>
      </c>
      <c r="K6" s="19">
        <v>1</v>
      </c>
      <c r="L6" s="19">
        <v>1</v>
      </c>
      <c r="M6" s="21">
        <v>1</v>
      </c>
      <c r="N6" s="27">
        <v>800</v>
      </c>
      <c r="O6" s="19">
        <v>890</v>
      </c>
      <c r="P6" s="21">
        <v>1.1125</v>
      </c>
      <c r="Q6" s="23">
        <v>135</v>
      </c>
      <c r="R6" s="19">
        <v>138</v>
      </c>
      <c r="S6" s="21">
        <v>1.0222222222222221</v>
      </c>
      <c r="T6" s="24">
        <v>5500000</v>
      </c>
      <c r="U6" s="24">
        <v>6007000</v>
      </c>
      <c r="V6" s="25">
        <v>1.0921818181818181</v>
      </c>
    </row>
    <row r="7" spans="1:22" x14ac:dyDescent="0.25">
      <c r="A7" s="18" t="s">
        <v>16</v>
      </c>
      <c r="B7" s="19">
        <v>3000</v>
      </c>
      <c r="C7" s="20">
        <v>2443.9100000000012</v>
      </c>
      <c r="D7" s="21">
        <v>0.81463666666666712</v>
      </c>
      <c r="E7" s="19">
        <v>55</v>
      </c>
      <c r="F7" s="19">
        <v>54</v>
      </c>
      <c r="G7" s="21">
        <v>0.98181818181818181</v>
      </c>
      <c r="H7" s="22">
        <v>95</v>
      </c>
      <c r="I7" s="22">
        <v>71</v>
      </c>
      <c r="J7" s="21">
        <v>0.74736842105263157</v>
      </c>
      <c r="K7" s="19">
        <v>14</v>
      </c>
      <c r="L7" s="19">
        <v>6</v>
      </c>
      <c r="M7" s="21">
        <v>0.42857142857142855</v>
      </c>
      <c r="N7" s="27">
        <v>1500</v>
      </c>
      <c r="O7" s="19">
        <v>1560</v>
      </c>
      <c r="P7" s="21">
        <v>1.04</v>
      </c>
      <c r="Q7" s="23">
        <v>180</v>
      </c>
      <c r="R7" s="19">
        <v>169</v>
      </c>
      <c r="S7" s="21">
        <v>0.93888888888888888</v>
      </c>
      <c r="T7" s="24">
        <v>9000000</v>
      </c>
      <c r="U7" s="24">
        <v>7170900</v>
      </c>
      <c r="V7" s="25">
        <v>0.79676666666666662</v>
      </c>
    </row>
    <row r="8" spans="1:22" x14ac:dyDescent="0.25">
      <c r="A8" s="18" t="s">
        <v>17</v>
      </c>
      <c r="B8" s="19">
        <v>1450</v>
      </c>
      <c r="C8" s="20">
        <v>1336.4799999999998</v>
      </c>
      <c r="D8" s="21">
        <v>0.92171034482758607</v>
      </c>
      <c r="E8" s="19">
        <v>15</v>
      </c>
      <c r="F8" s="19">
        <v>23</v>
      </c>
      <c r="G8" s="21">
        <v>1.5333333333333334</v>
      </c>
      <c r="H8" s="22">
        <v>50</v>
      </c>
      <c r="I8" s="22">
        <v>46</v>
      </c>
      <c r="J8" s="21">
        <v>0.92</v>
      </c>
      <c r="K8" s="19">
        <v>1</v>
      </c>
      <c r="L8" s="19">
        <v>0</v>
      </c>
      <c r="M8" s="21">
        <v>0</v>
      </c>
      <c r="N8" s="27">
        <v>1200</v>
      </c>
      <c r="O8" s="19">
        <v>1146</v>
      </c>
      <c r="P8" s="21">
        <v>0.95499999999999996</v>
      </c>
      <c r="Q8" s="23">
        <v>60</v>
      </c>
      <c r="R8" s="19">
        <v>68</v>
      </c>
      <c r="S8" s="21">
        <v>1.1333333333333333</v>
      </c>
      <c r="T8" s="24">
        <v>3000000</v>
      </c>
      <c r="U8" s="24">
        <v>1723000</v>
      </c>
      <c r="V8" s="25">
        <v>0.57433333333333336</v>
      </c>
    </row>
    <row r="9" spans="1:22" x14ac:dyDescent="0.25">
      <c r="A9" s="18" t="s">
        <v>18</v>
      </c>
      <c r="B9" s="19">
        <v>1500</v>
      </c>
      <c r="C9" s="20">
        <v>1005.3999999999996</v>
      </c>
      <c r="D9" s="21">
        <v>0.67026666666666646</v>
      </c>
      <c r="E9" s="19">
        <v>37</v>
      </c>
      <c r="F9" s="19">
        <v>27</v>
      </c>
      <c r="G9" s="21">
        <v>0.72972972972972971</v>
      </c>
      <c r="H9" s="22">
        <v>45</v>
      </c>
      <c r="I9" s="22">
        <v>32</v>
      </c>
      <c r="J9" s="21">
        <v>0.71111111111111114</v>
      </c>
      <c r="K9" s="19">
        <v>1</v>
      </c>
      <c r="L9" s="19">
        <v>2</v>
      </c>
      <c r="M9" s="21">
        <v>2</v>
      </c>
      <c r="N9" s="27">
        <v>1200</v>
      </c>
      <c r="O9" s="19">
        <v>1181</v>
      </c>
      <c r="P9" s="21">
        <v>0.98416666666666663</v>
      </c>
      <c r="Q9" s="23">
        <v>80</v>
      </c>
      <c r="R9" s="19">
        <v>86</v>
      </c>
      <c r="S9" s="21">
        <v>1.075</v>
      </c>
      <c r="T9" s="24">
        <v>5000000</v>
      </c>
      <c r="U9" s="24">
        <v>4229133</v>
      </c>
      <c r="V9" s="25">
        <v>0.84582659999999998</v>
      </c>
    </row>
    <row r="10" spans="1:22" x14ac:dyDescent="0.25">
      <c r="A10" s="18" t="s">
        <v>19</v>
      </c>
      <c r="B10" s="19">
        <v>3500</v>
      </c>
      <c r="C10" s="20">
        <v>2313.5600000000009</v>
      </c>
      <c r="D10" s="21">
        <v>0.66101714285714308</v>
      </c>
      <c r="E10" s="19">
        <v>50</v>
      </c>
      <c r="F10" s="19">
        <v>48</v>
      </c>
      <c r="G10" s="21">
        <v>0.96</v>
      </c>
      <c r="H10" s="22">
        <v>130</v>
      </c>
      <c r="I10" s="22">
        <v>84</v>
      </c>
      <c r="J10" s="21">
        <v>0.64615384615384619</v>
      </c>
      <c r="K10" s="19">
        <v>1</v>
      </c>
      <c r="L10" s="19">
        <v>1</v>
      </c>
      <c r="M10" s="21">
        <v>1</v>
      </c>
      <c r="N10" s="27">
        <v>1500</v>
      </c>
      <c r="O10" s="19">
        <v>1114</v>
      </c>
      <c r="P10" s="21">
        <v>0.7426666666666667</v>
      </c>
      <c r="Q10" s="23">
        <v>180</v>
      </c>
      <c r="R10" s="19">
        <v>172</v>
      </c>
      <c r="S10" s="21">
        <v>0.9555555555555556</v>
      </c>
      <c r="T10" s="24">
        <v>7500000</v>
      </c>
      <c r="U10" s="24">
        <v>6835600</v>
      </c>
      <c r="V10" s="25">
        <v>0.9114133333333333</v>
      </c>
    </row>
    <row r="11" spans="1:22" x14ac:dyDescent="0.25">
      <c r="A11" s="18" t="s">
        <v>20</v>
      </c>
      <c r="B11" s="19">
        <v>3500</v>
      </c>
      <c r="C11" s="20">
        <v>2200.7799999999988</v>
      </c>
      <c r="D11" s="21">
        <v>0.62879428571428542</v>
      </c>
      <c r="E11" s="19">
        <v>80</v>
      </c>
      <c r="F11" s="19">
        <v>70</v>
      </c>
      <c r="G11" s="21">
        <v>0.875</v>
      </c>
      <c r="H11" s="22">
        <v>90</v>
      </c>
      <c r="I11" s="22">
        <v>62</v>
      </c>
      <c r="J11" s="21">
        <v>0.68888888888888888</v>
      </c>
      <c r="K11" s="19">
        <v>20</v>
      </c>
      <c r="L11" s="19">
        <v>9</v>
      </c>
      <c r="M11" s="21">
        <v>0.45</v>
      </c>
      <c r="N11" s="27">
        <v>1500</v>
      </c>
      <c r="O11" s="19">
        <v>1211</v>
      </c>
      <c r="P11" s="21">
        <v>0.80733333333333335</v>
      </c>
      <c r="Q11" s="23">
        <v>190</v>
      </c>
      <c r="R11" s="19">
        <v>143</v>
      </c>
      <c r="S11" s="21">
        <v>0.75263157894736843</v>
      </c>
      <c r="T11" s="24">
        <v>4500000</v>
      </c>
      <c r="U11" s="24">
        <v>2574000</v>
      </c>
      <c r="V11" s="25">
        <v>0.57199999999999995</v>
      </c>
    </row>
    <row r="12" spans="1:22" x14ac:dyDescent="0.25">
      <c r="A12" s="18" t="s">
        <v>21</v>
      </c>
      <c r="B12" s="19">
        <v>2400</v>
      </c>
      <c r="C12" s="20">
        <v>2152.67</v>
      </c>
      <c r="D12" s="21">
        <v>0.89694583333333333</v>
      </c>
      <c r="E12" s="19">
        <v>24</v>
      </c>
      <c r="F12" s="19">
        <v>15</v>
      </c>
      <c r="G12" s="21">
        <v>0.625</v>
      </c>
      <c r="H12" s="22">
        <v>110</v>
      </c>
      <c r="I12" s="22">
        <v>97</v>
      </c>
      <c r="J12" s="21">
        <v>0.88181818181818183</v>
      </c>
      <c r="K12" s="19">
        <v>1</v>
      </c>
      <c r="L12" s="19">
        <v>0</v>
      </c>
      <c r="M12" s="21">
        <v>0</v>
      </c>
      <c r="N12" s="27">
        <v>1500</v>
      </c>
      <c r="O12" s="19">
        <v>1340</v>
      </c>
      <c r="P12" s="21">
        <v>0.89333333333333331</v>
      </c>
      <c r="Q12" s="23">
        <v>80</v>
      </c>
      <c r="R12" s="19">
        <v>105</v>
      </c>
      <c r="S12" s="21">
        <v>1.3125</v>
      </c>
      <c r="T12" s="24">
        <v>8000000</v>
      </c>
      <c r="U12" s="24">
        <v>6748300</v>
      </c>
      <c r="V12" s="25">
        <v>0.84353750000000005</v>
      </c>
    </row>
    <row r="13" spans="1:22" x14ac:dyDescent="0.25">
      <c r="A13" s="18" t="s">
        <v>22</v>
      </c>
      <c r="B13" s="19">
        <v>2000</v>
      </c>
      <c r="C13" s="20">
        <v>1761.5500000000004</v>
      </c>
      <c r="D13" s="21">
        <v>0.8807750000000002</v>
      </c>
      <c r="E13" s="19">
        <v>35</v>
      </c>
      <c r="F13" s="19">
        <v>39</v>
      </c>
      <c r="G13" s="21">
        <v>1.1142857142857143</v>
      </c>
      <c r="H13" s="22">
        <v>50</v>
      </c>
      <c r="I13" s="22">
        <v>39</v>
      </c>
      <c r="J13" s="21">
        <v>0.78</v>
      </c>
      <c r="K13" s="19">
        <v>8</v>
      </c>
      <c r="L13" s="19">
        <v>7</v>
      </c>
      <c r="M13" s="21">
        <v>0.875</v>
      </c>
      <c r="N13" s="27">
        <v>1200</v>
      </c>
      <c r="O13" s="19">
        <v>1102</v>
      </c>
      <c r="P13" s="21">
        <v>0.91833333333333333</v>
      </c>
      <c r="Q13" s="23">
        <v>130</v>
      </c>
      <c r="R13" s="19">
        <v>127</v>
      </c>
      <c r="S13" s="21">
        <v>0.97692307692307689</v>
      </c>
      <c r="T13" s="24">
        <v>5500000</v>
      </c>
      <c r="U13" s="24">
        <v>3531900</v>
      </c>
      <c r="V13" s="25">
        <v>0.64216363636363638</v>
      </c>
    </row>
    <row r="14" spans="1:22" x14ac:dyDescent="0.25">
      <c r="A14" s="18" t="s">
        <v>23</v>
      </c>
      <c r="B14" s="19">
        <v>2500</v>
      </c>
      <c r="C14" s="20">
        <v>2191.4500000000012</v>
      </c>
      <c r="D14" s="21">
        <v>0.87658000000000047</v>
      </c>
      <c r="E14" s="19">
        <v>50</v>
      </c>
      <c r="F14" s="19">
        <v>59</v>
      </c>
      <c r="G14" s="21">
        <v>1.18</v>
      </c>
      <c r="H14" s="22">
        <v>75</v>
      </c>
      <c r="I14" s="22">
        <v>60</v>
      </c>
      <c r="J14" s="21">
        <v>0.8</v>
      </c>
      <c r="K14" s="19">
        <v>12</v>
      </c>
      <c r="L14" s="19">
        <v>9</v>
      </c>
      <c r="M14" s="21">
        <v>0.75</v>
      </c>
      <c r="N14" s="27">
        <v>1500</v>
      </c>
      <c r="O14" s="19">
        <v>1430</v>
      </c>
      <c r="P14" s="21">
        <v>0.95333333333333337</v>
      </c>
      <c r="Q14" s="23">
        <v>180</v>
      </c>
      <c r="R14" s="19">
        <v>138</v>
      </c>
      <c r="S14" s="21">
        <v>0.76666666666666672</v>
      </c>
      <c r="T14" s="24">
        <v>3000000</v>
      </c>
      <c r="U14" s="24">
        <v>1174000</v>
      </c>
      <c r="V14" s="25">
        <v>0.39133333333333331</v>
      </c>
    </row>
    <row r="15" spans="1:22" x14ac:dyDescent="0.25">
      <c r="A15" s="18" t="s">
        <v>24</v>
      </c>
      <c r="B15" s="19">
        <v>6800</v>
      </c>
      <c r="C15" s="20">
        <v>6469.8200000000079</v>
      </c>
      <c r="D15" s="21">
        <v>0.95144411764705994</v>
      </c>
      <c r="E15" s="19">
        <v>140</v>
      </c>
      <c r="F15" s="19">
        <v>174</v>
      </c>
      <c r="G15" s="21">
        <v>1.2428571428571429</v>
      </c>
      <c r="H15" s="22">
        <v>220</v>
      </c>
      <c r="I15" s="22">
        <v>200</v>
      </c>
      <c r="J15" s="21">
        <v>0.90909090909090906</v>
      </c>
      <c r="K15" s="19">
        <v>14</v>
      </c>
      <c r="L15" s="19">
        <v>16</v>
      </c>
      <c r="M15" s="21">
        <v>1.1428571428571428</v>
      </c>
      <c r="N15" s="27">
        <v>1500</v>
      </c>
      <c r="O15" s="19">
        <v>1742</v>
      </c>
      <c r="P15" s="21">
        <v>1.1613333333333333</v>
      </c>
      <c r="Q15" s="23">
        <v>500</v>
      </c>
      <c r="R15" s="19">
        <v>411</v>
      </c>
      <c r="S15" s="21">
        <v>0.82199999999999995</v>
      </c>
      <c r="T15" s="24">
        <v>7000000</v>
      </c>
      <c r="U15" s="24">
        <v>5857400</v>
      </c>
      <c r="V15" s="25">
        <v>0.83677142857142861</v>
      </c>
    </row>
    <row r="16" spans="1:22" x14ac:dyDescent="0.25">
      <c r="A16" s="18" t="s">
        <v>25</v>
      </c>
      <c r="B16" s="19">
        <v>1200</v>
      </c>
      <c r="C16" s="20">
        <v>1238.07</v>
      </c>
      <c r="D16" s="21">
        <v>1.031725</v>
      </c>
      <c r="E16" s="19">
        <v>15</v>
      </c>
      <c r="F16" s="19">
        <v>27</v>
      </c>
      <c r="G16" s="21">
        <v>1.8</v>
      </c>
      <c r="H16" s="22">
        <v>30</v>
      </c>
      <c r="I16" s="22">
        <v>33</v>
      </c>
      <c r="J16" s="21">
        <v>1.1000000000000001</v>
      </c>
      <c r="K16" s="19">
        <v>8</v>
      </c>
      <c r="L16" s="19">
        <v>9</v>
      </c>
      <c r="M16" s="21">
        <v>1.125</v>
      </c>
      <c r="N16" s="27">
        <v>1200</v>
      </c>
      <c r="O16" s="19">
        <v>1048</v>
      </c>
      <c r="P16" s="21">
        <v>0.87333333333333329</v>
      </c>
      <c r="Q16" s="23">
        <v>70</v>
      </c>
      <c r="R16" s="19">
        <v>43</v>
      </c>
      <c r="S16" s="21">
        <v>0.61428571428571432</v>
      </c>
      <c r="T16" s="24">
        <v>2500000</v>
      </c>
      <c r="U16" s="24">
        <v>1228000</v>
      </c>
      <c r="V16" s="25">
        <v>0.49120000000000003</v>
      </c>
    </row>
    <row r="17" spans="1:22" x14ac:dyDescent="0.25">
      <c r="A17" s="18" t="s">
        <v>35</v>
      </c>
      <c r="B17" s="19">
        <v>0</v>
      </c>
      <c r="C17" s="20">
        <v>239.10999999999999</v>
      </c>
      <c r="D17" s="21">
        <v>0</v>
      </c>
      <c r="E17" s="19">
        <v>15</v>
      </c>
      <c r="F17" s="19">
        <v>8</v>
      </c>
      <c r="G17" s="21">
        <v>0</v>
      </c>
      <c r="H17" s="22">
        <v>0</v>
      </c>
      <c r="I17" s="22">
        <v>7</v>
      </c>
      <c r="J17" s="21">
        <v>0</v>
      </c>
      <c r="K17" s="19">
        <v>4</v>
      </c>
      <c r="L17" s="19">
        <v>0</v>
      </c>
      <c r="M17" s="21">
        <v>0</v>
      </c>
      <c r="N17" s="27">
        <v>0</v>
      </c>
      <c r="O17" s="19">
        <v>0</v>
      </c>
      <c r="P17" s="21">
        <v>0</v>
      </c>
      <c r="Q17" s="23"/>
      <c r="R17" s="19">
        <v>33</v>
      </c>
      <c r="S17" s="21">
        <v>0</v>
      </c>
      <c r="T17" s="24">
        <v>0</v>
      </c>
      <c r="U17" s="24">
        <v>0</v>
      </c>
      <c r="V17" s="25">
        <v>0</v>
      </c>
    </row>
    <row r="18" spans="1:22" x14ac:dyDescent="0.25">
      <c r="A18" s="18" t="s">
        <v>26</v>
      </c>
      <c r="B18" s="19">
        <v>2000</v>
      </c>
      <c r="C18" s="20">
        <v>1374.9999999999998</v>
      </c>
      <c r="D18" s="21">
        <v>0.68749999999999989</v>
      </c>
      <c r="E18" s="19">
        <v>15</v>
      </c>
      <c r="F18" s="19">
        <v>14</v>
      </c>
      <c r="G18" s="21">
        <v>0.93333333333333335</v>
      </c>
      <c r="H18" s="22">
        <v>75</v>
      </c>
      <c r="I18" s="22">
        <v>54</v>
      </c>
      <c r="J18" s="21">
        <v>0.72</v>
      </c>
      <c r="K18" s="19">
        <v>1</v>
      </c>
      <c r="L18" s="19">
        <v>1</v>
      </c>
      <c r="M18" s="21">
        <v>1</v>
      </c>
      <c r="N18" s="27">
        <v>800</v>
      </c>
      <c r="O18" s="19">
        <v>850</v>
      </c>
      <c r="P18" s="21">
        <v>1.0625</v>
      </c>
      <c r="Q18" s="23">
        <v>70</v>
      </c>
      <c r="R18" s="19">
        <v>63</v>
      </c>
      <c r="S18" s="21">
        <v>0.9</v>
      </c>
      <c r="T18" s="24">
        <v>4000000</v>
      </c>
      <c r="U18" s="24">
        <v>3397800</v>
      </c>
      <c r="V18" s="25">
        <v>0.84945000000000004</v>
      </c>
    </row>
    <row r="19" spans="1:22" x14ac:dyDescent="0.25">
      <c r="A19" s="18" t="s">
        <v>27</v>
      </c>
      <c r="B19" s="19">
        <v>1100</v>
      </c>
      <c r="C19" s="20">
        <v>863.32</v>
      </c>
      <c r="D19" s="21">
        <v>0.78483636363636367</v>
      </c>
      <c r="E19" s="19">
        <v>20</v>
      </c>
      <c r="F19" s="19">
        <v>25</v>
      </c>
      <c r="G19" s="21">
        <v>1.25</v>
      </c>
      <c r="H19" s="22">
        <v>30</v>
      </c>
      <c r="I19" s="22">
        <v>23</v>
      </c>
      <c r="J19" s="21">
        <v>0.76666666666666672</v>
      </c>
      <c r="K19" s="19">
        <v>4</v>
      </c>
      <c r="L19" s="19">
        <v>2</v>
      </c>
      <c r="M19" s="21">
        <v>0.5</v>
      </c>
      <c r="N19" s="27">
        <v>1200</v>
      </c>
      <c r="O19" s="19">
        <v>1273</v>
      </c>
      <c r="P19" s="21">
        <v>1.0608333333333333</v>
      </c>
      <c r="Q19" s="23">
        <v>85</v>
      </c>
      <c r="R19" s="19">
        <v>81</v>
      </c>
      <c r="S19" s="21">
        <v>0.95294117647058818</v>
      </c>
      <c r="T19" s="24">
        <v>2000000</v>
      </c>
      <c r="U19" s="24">
        <v>1015000</v>
      </c>
      <c r="V19" s="25">
        <v>0.50749999999999995</v>
      </c>
    </row>
    <row r="20" spans="1:22" x14ac:dyDescent="0.25">
      <c r="A20" s="18" t="s">
        <v>28</v>
      </c>
      <c r="B20" s="19">
        <v>2600</v>
      </c>
      <c r="C20" s="20">
        <v>1736.2199999999998</v>
      </c>
      <c r="D20" s="21">
        <v>0.66777692307692305</v>
      </c>
      <c r="E20" s="19">
        <v>62</v>
      </c>
      <c r="F20" s="19">
        <v>55</v>
      </c>
      <c r="G20" s="21">
        <v>0.88709677419354838</v>
      </c>
      <c r="H20" s="22">
        <v>60</v>
      </c>
      <c r="I20" s="22">
        <v>37</v>
      </c>
      <c r="J20" s="21">
        <v>0.6166666666666667</v>
      </c>
      <c r="K20" s="19">
        <v>14</v>
      </c>
      <c r="L20" s="19">
        <v>11</v>
      </c>
      <c r="M20" s="21">
        <v>0.7857142857142857</v>
      </c>
      <c r="N20" s="27">
        <v>1500</v>
      </c>
      <c r="O20" s="19">
        <v>1348</v>
      </c>
      <c r="P20" s="21">
        <v>0.89866666666666661</v>
      </c>
      <c r="Q20" s="23">
        <v>210</v>
      </c>
      <c r="R20" s="19">
        <v>139</v>
      </c>
      <c r="S20" s="21">
        <v>0.66190476190476188</v>
      </c>
      <c r="T20" s="24">
        <v>4000000</v>
      </c>
      <c r="U20" s="24">
        <v>2472700</v>
      </c>
      <c r="V20" s="25">
        <v>0.61817500000000003</v>
      </c>
    </row>
    <row r="21" spans="1:22" x14ac:dyDescent="0.25">
      <c r="A21" s="18" t="s">
        <v>33</v>
      </c>
      <c r="B21" s="19">
        <v>1000</v>
      </c>
      <c r="C21" s="20">
        <v>1045.0899999999997</v>
      </c>
      <c r="D21" s="21">
        <v>1.0450899999999996</v>
      </c>
      <c r="E21" s="19">
        <v>15</v>
      </c>
      <c r="F21" s="19">
        <v>22</v>
      </c>
      <c r="G21" s="21">
        <v>1.4666666666666666</v>
      </c>
      <c r="H21" s="22">
        <v>30</v>
      </c>
      <c r="I21" s="22">
        <v>31</v>
      </c>
      <c r="J21" s="21">
        <v>1.0333333333333334</v>
      </c>
      <c r="K21" s="19">
        <v>4</v>
      </c>
      <c r="L21" s="19">
        <v>2</v>
      </c>
      <c r="M21" s="21">
        <v>0.5</v>
      </c>
      <c r="N21" s="27">
        <v>0</v>
      </c>
      <c r="O21" s="19">
        <v>0</v>
      </c>
      <c r="P21" s="21">
        <v>0</v>
      </c>
      <c r="Q21" s="23">
        <v>70</v>
      </c>
      <c r="R21" s="19">
        <v>64</v>
      </c>
      <c r="S21" s="21">
        <v>0.91428571428571426</v>
      </c>
      <c r="T21" s="24">
        <v>3000000</v>
      </c>
      <c r="U21" s="24">
        <v>1422900</v>
      </c>
      <c r="V21" s="25">
        <v>0.4743</v>
      </c>
    </row>
    <row r="22" spans="1:22" x14ac:dyDescent="0.25">
      <c r="A22" s="18" t="s">
        <v>29</v>
      </c>
      <c r="B22" s="19">
        <v>2200</v>
      </c>
      <c r="C22" s="20">
        <v>1436.5899999999995</v>
      </c>
      <c r="D22" s="21">
        <v>0.65299545454545427</v>
      </c>
      <c r="E22" s="19">
        <v>40</v>
      </c>
      <c r="F22" s="19">
        <v>55</v>
      </c>
      <c r="G22" s="21">
        <v>1.375</v>
      </c>
      <c r="H22" s="22">
        <v>60</v>
      </c>
      <c r="I22" s="22">
        <v>26</v>
      </c>
      <c r="J22" s="21">
        <v>0.43333333333333335</v>
      </c>
      <c r="K22" s="19">
        <v>1</v>
      </c>
      <c r="L22" s="19">
        <v>0</v>
      </c>
      <c r="M22" s="21">
        <v>0</v>
      </c>
      <c r="N22" s="27">
        <v>1200</v>
      </c>
      <c r="O22" s="19">
        <v>430</v>
      </c>
      <c r="P22" s="21">
        <v>0.35833333333333334</v>
      </c>
      <c r="Q22" s="23">
        <v>220</v>
      </c>
      <c r="R22" s="19">
        <v>217</v>
      </c>
      <c r="S22" s="21">
        <v>0.98636363636363633</v>
      </c>
      <c r="T22" s="24">
        <v>5000000</v>
      </c>
      <c r="U22" s="24">
        <v>3033000</v>
      </c>
      <c r="V22" s="25">
        <v>0.60660000000000003</v>
      </c>
    </row>
    <row r="23" spans="1:22" x14ac:dyDescent="0.25">
      <c r="A23" s="18" t="s">
        <v>30</v>
      </c>
      <c r="B23" s="19">
        <v>2650</v>
      </c>
      <c r="C23" s="20">
        <v>1674.07</v>
      </c>
      <c r="D23" s="21">
        <v>0.63172452830188675</v>
      </c>
      <c r="E23" s="19">
        <v>35</v>
      </c>
      <c r="F23" s="19">
        <v>33</v>
      </c>
      <c r="G23" s="21">
        <v>0.94285714285714284</v>
      </c>
      <c r="H23" s="22">
        <v>70</v>
      </c>
      <c r="I23" s="22">
        <v>50</v>
      </c>
      <c r="J23" s="21">
        <v>0.7142857142857143</v>
      </c>
      <c r="K23" s="19">
        <v>3</v>
      </c>
      <c r="L23" s="19">
        <v>2</v>
      </c>
      <c r="M23" s="21">
        <v>0.66666666666666663</v>
      </c>
      <c r="N23" s="27">
        <v>1500</v>
      </c>
      <c r="O23" s="19">
        <v>1513</v>
      </c>
      <c r="P23" s="21">
        <v>1.0086666666666666</v>
      </c>
      <c r="Q23" s="23">
        <v>180</v>
      </c>
      <c r="R23" s="19">
        <v>115</v>
      </c>
      <c r="S23" s="28">
        <v>0.63888888888888884</v>
      </c>
      <c r="T23" s="24">
        <v>5500000</v>
      </c>
      <c r="U23" s="24">
        <v>3662900</v>
      </c>
      <c r="V23" s="25">
        <v>0.66598181818181823</v>
      </c>
    </row>
    <row r="24" spans="1:22" x14ac:dyDescent="0.25">
      <c r="A24" s="18" t="s">
        <v>31</v>
      </c>
      <c r="B24" s="19">
        <v>1800</v>
      </c>
      <c r="C24" s="20">
        <v>1190.7199999999996</v>
      </c>
      <c r="D24" s="21">
        <v>0.66151111111111083</v>
      </c>
      <c r="E24" s="19">
        <v>30</v>
      </c>
      <c r="F24" s="19">
        <v>22</v>
      </c>
      <c r="G24" s="21">
        <v>0.73333333333333328</v>
      </c>
      <c r="H24" s="22">
        <v>55</v>
      </c>
      <c r="I24" s="22">
        <v>36</v>
      </c>
      <c r="J24" s="21">
        <v>0.65454545454545454</v>
      </c>
      <c r="K24" s="19">
        <v>8</v>
      </c>
      <c r="L24" s="19">
        <v>7</v>
      </c>
      <c r="M24" s="21">
        <v>0.875</v>
      </c>
      <c r="N24" s="27">
        <v>1200</v>
      </c>
      <c r="O24" s="19">
        <v>511</v>
      </c>
      <c r="P24" s="21">
        <v>0.42583333333333334</v>
      </c>
      <c r="Q24" s="23">
        <v>160</v>
      </c>
      <c r="R24" s="19">
        <v>173</v>
      </c>
      <c r="S24" s="21">
        <v>1.08125</v>
      </c>
      <c r="T24" s="24">
        <v>3000000</v>
      </c>
      <c r="U24" s="24">
        <v>1542000</v>
      </c>
      <c r="V24" s="25">
        <v>0.51400000000000001</v>
      </c>
    </row>
    <row r="25" spans="1:22" x14ac:dyDescent="0.25">
      <c r="A25" s="18" t="s">
        <v>32</v>
      </c>
      <c r="B25" s="19">
        <v>1800</v>
      </c>
      <c r="C25" s="20">
        <v>1266.2200000000003</v>
      </c>
      <c r="D25" s="21">
        <v>0.70345555555555572</v>
      </c>
      <c r="E25" s="19">
        <v>24</v>
      </c>
      <c r="F25" s="19">
        <v>28</v>
      </c>
      <c r="G25" s="21">
        <v>1.1666666666666667</v>
      </c>
      <c r="H25" s="22">
        <v>70</v>
      </c>
      <c r="I25" s="22">
        <v>34</v>
      </c>
      <c r="J25" s="21">
        <v>0.48571428571428571</v>
      </c>
      <c r="K25" s="19">
        <v>1</v>
      </c>
      <c r="L25" s="19">
        <v>0</v>
      </c>
      <c r="M25" s="21">
        <v>0</v>
      </c>
      <c r="N25" s="27">
        <v>1200</v>
      </c>
      <c r="O25" s="19">
        <v>1162</v>
      </c>
      <c r="P25" s="21">
        <v>0.96833333333333338</v>
      </c>
      <c r="Q25" s="23">
        <v>90</v>
      </c>
      <c r="R25" s="19">
        <v>52</v>
      </c>
      <c r="S25" s="21">
        <v>0.57777777777777772</v>
      </c>
      <c r="T25" s="24">
        <v>6000000</v>
      </c>
      <c r="U25" s="24">
        <v>2957000</v>
      </c>
      <c r="V25" s="25">
        <v>0.49283333333333335</v>
      </c>
    </row>
    <row r="26" spans="1:22" x14ac:dyDescent="0.25">
      <c r="A26" s="26" t="s">
        <v>10</v>
      </c>
      <c r="B26" s="29">
        <f>SUM(B2:B25)</f>
        <v>54450</v>
      </c>
      <c r="C26" s="29">
        <f>SUM(C2:C25)</f>
        <v>43836.950000000004</v>
      </c>
      <c r="D26" s="21">
        <f>C26/B26</f>
        <v>0.80508631772268147</v>
      </c>
      <c r="E26" s="29">
        <f>SUM(E2:E25)</f>
        <v>945</v>
      </c>
      <c r="F26" s="29">
        <f>SUM(F2:F25)</f>
        <v>1000</v>
      </c>
      <c r="G26" s="21">
        <f>F26/E26</f>
        <v>1.0582010582010581</v>
      </c>
      <c r="H26" s="29">
        <f>SUM(H2:H25)</f>
        <v>1712</v>
      </c>
      <c r="I26" s="29">
        <f>SUM(I2:I25)</f>
        <v>1333</v>
      </c>
      <c r="J26" s="21">
        <f>I26/H26</f>
        <v>0.77862149532710279</v>
      </c>
      <c r="K26" s="29">
        <f>SUM(K2:K25)</f>
        <v>157</v>
      </c>
      <c r="L26" s="29">
        <f>SUM(L2:L25)</f>
        <v>125</v>
      </c>
      <c r="M26" s="21">
        <f>L26/K26</f>
        <v>0.79617834394904463</v>
      </c>
      <c r="N26" s="29">
        <f>SUM(N2:N25)</f>
        <v>27700</v>
      </c>
      <c r="O26" s="29">
        <f>SUM(O2:O25)</f>
        <v>25511</v>
      </c>
      <c r="P26" s="21">
        <f>O26/N26</f>
        <v>0.92097472924187729</v>
      </c>
      <c r="Q26" s="29">
        <f>SUM(Q2:Q25)</f>
        <v>3360</v>
      </c>
      <c r="R26" s="29">
        <f>SUM(R2:R25)</f>
        <v>2975</v>
      </c>
      <c r="S26" s="21">
        <f>R26/Q26</f>
        <v>0.88541666666666663</v>
      </c>
      <c r="T26" s="29">
        <f>SUM(T2:T25)</f>
        <v>117000000</v>
      </c>
      <c r="U26" s="29">
        <f>SUM(U2:U25)</f>
        <v>86477582</v>
      </c>
      <c r="V26" s="21">
        <f>U26/T26</f>
        <v>0.73912463247863247</v>
      </c>
    </row>
  </sheetData>
  <sortState xmlns:xlrd2="http://schemas.microsoft.com/office/spreadsheetml/2017/richdata2" ref="A2:V25">
    <sortCondition ref="A2:A25"/>
  </sortState>
  <conditionalFormatting sqref="D2:D26 G2:G26 J2:J26 M2:M26 S2:S26">
    <cfRule type="cellIs" dxfId="24" priority="23" operator="between">
      <formula>0.9</formula>
      <formula>0.99</formula>
    </cfRule>
  </conditionalFormatting>
  <conditionalFormatting sqref="D2:D26 G2:G26">
    <cfRule type="cellIs" dxfId="23" priority="26" operator="greaterThan">
      <formula>1</formula>
    </cfRule>
  </conditionalFormatting>
  <conditionalFormatting sqref="G2:G25">
    <cfRule type="cellIs" dxfId="22" priority="18" operator="greaterThan">
      <formula>0.99</formula>
    </cfRule>
  </conditionalFormatting>
  <conditionalFormatting sqref="J2:J25 M2:M25 P2:P25">
    <cfRule type="cellIs" dxfId="21" priority="25" operator="greaterThan">
      <formula>1</formula>
    </cfRule>
  </conditionalFormatting>
  <conditionalFormatting sqref="M2:M25">
    <cfRule type="cellIs" dxfId="20" priority="22" operator="greaterThan">
      <formula>0.99</formula>
    </cfRule>
  </conditionalFormatting>
  <conditionalFormatting sqref="P2:P25">
    <cfRule type="cellIs" dxfId="19" priority="8" operator="greaterThan">
      <formula>0.99</formula>
    </cfRule>
    <cfRule type="cellIs" dxfId="18" priority="9" operator="between">
      <formula>0.9</formula>
      <formula>0.99</formula>
    </cfRule>
  </conditionalFormatting>
  <conditionalFormatting sqref="D2:D26 G2:G26 J2:J26 M2:M26 P2:P26 S2:S26 V2:V26">
    <cfRule type="cellIs" dxfId="17" priority="19" operator="between">
      <formula>0.8</formula>
      <formula>0.88</formula>
    </cfRule>
  </conditionalFormatting>
  <conditionalFormatting sqref="S2:S25">
    <cfRule type="cellIs" dxfId="16" priority="10" operator="between">
      <formula>0.79</formula>
      <formula>0.9</formula>
    </cfRule>
    <cfRule type="cellIs" dxfId="15" priority="11" operator="between">
      <formula>"79.9%"</formula>
      <formula>"89.9%"</formula>
    </cfRule>
    <cfRule type="cellIs" dxfId="14" priority="12" operator="between">
      <formula>0.8</formula>
      <formula>0.89</formula>
    </cfRule>
    <cfRule type="cellIs" dxfId="13" priority="13" operator="between">
      <formula>0.9</formula>
      <formula>0.99</formula>
    </cfRule>
    <cfRule type="cellIs" dxfId="12" priority="16" operator="greaterThan">
      <formula>0.99</formula>
    </cfRule>
    <cfRule type="cellIs" dxfId="11" priority="17" operator="greaterThan">
      <formula>1</formula>
    </cfRule>
  </conditionalFormatting>
  <conditionalFormatting sqref="S23">
    <cfRule type="cellIs" dxfId="10" priority="15" operator="lessThan">
      <formula>0.99</formula>
    </cfRule>
  </conditionalFormatting>
  <conditionalFormatting sqref="V2:V25">
    <cfRule type="cellIs" dxfId="9" priority="20" operator="greaterThan">
      <formula>0.99</formula>
    </cfRule>
    <cfRule type="cellIs" dxfId="8" priority="21" operator="between">
      <formula>0.9</formula>
      <formula>0.99</formula>
    </cfRule>
    <cfRule type="cellIs" dxfId="7" priority="24" operator="greaterThan">
      <formula>1</formula>
    </cfRule>
  </conditionalFormatting>
  <conditionalFormatting sqref="J26">
    <cfRule type="cellIs" dxfId="6" priority="7" operator="greaterThan">
      <formula>1</formula>
    </cfRule>
  </conditionalFormatting>
  <conditionalFormatting sqref="M26">
    <cfRule type="cellIs" dxfId="5" priority="6" operator="greaterThan">
      <formula>1</formula>
    </cfRule>
  </conditionalFormatting>
  <conditionalFormatting sqref="P26">
    <cfRule type="cellIs" dxfId="4" priority="4" operator="between">
      <formula>0.9</formula>
      <formula>0.99</formula>
    </cfRule>
  </conditionalFormatting>
  <conditionalFormatting sqref="P26">
    <cfRule type="cellIs" dxfId="3" priority="5" operator="greaterThan">
      <formula>1</formula>
    </cfRule>
  </conditionalFormatting>
  <conditionalFormatting sqref="S26">
    <cfRule type="cellIs" dxfId="2" priority="3" operator="greaterThan">
      <formula>1</formula>
    </cfRule>
  </conditionalFormatting>
  <conditionalFormatting sqref="V26">
    <cfRule type="cellIs" dxfId="1" priority="1" operator="between">
      <formula>0.9</formula>
      <formula>0.99</formula>
    </cfRule>
  </conditionalFormatting>
  <conditionalFormatting sqref="V26">
    <cfRule type="cellIs" dxfId="0" priority="2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Cumplimiento CVS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2026-03-25T20:57:34Z</dcterms:created>
  <dcterms:modified xsi:type="dcterms:W3CDTF">2026-09-07T16:59:11Z</dcterms:modified>
</cp:coreProperties>
</file>